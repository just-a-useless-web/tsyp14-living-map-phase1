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comments3.xml" ContentType="application/vnd.openxmlformats-officedocument.spreadsheetml.comments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esign" sheetId="1" state="visible" r:id="rId3"/>
    <sheet name="Loading" sheetId="2" state="visible" r:id="rId4"/>
    <sheet name="Cost" sheetId="3" state="visible" r:id="rId5"/>
    <sheet name="Notes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3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14" authorId="0">
      <text>
        <r>
          <rPr>
            <sz val="10"/>
            <rFont val="Arial"/>
            <family val="2"/>
          </rPr>
          <t xml:space="preserve">From the simulation run: 31 beacons dropped = 27 waypoint + 4 event (writer_log.json). Replace with your own run.</t>
        </r>
      </text>
    </comment>
  </commentList>
</comments>
</file>

<file path=xl/sharedStrings.xml><?xml version="1.0" encoding="utf-8"?>
<sst xmlns="http://schemas.openxmlformats.org/spreadsheetml/2006/main" count="90" uniqueCount="90">
  <si>
    <t xml:space="preserve">Two-tier beacon system</t>
  </si>
  <si>
    <t xml:space="preserve">Cheap disposable waypoint beacons + capable event beacons (IEEE TSYP 14 - The Living Map)</t>
  </si>
  <si>
    <t xml:space="preserve">Waypoint beacon (cheap)</t>
  </si>
  <si>
    <t xml:space="preserve">Event beacon (normal hardware)</t>
  </si>
  <si>
    <t xml:space="preserve">Job</t>
  </si>
  <si>
    <t xml:space="preserve">Says "next beacon is 6 m at heading 120" - keeps the chain connected</t>
  </si>
  <si>
    <t xml:space="preserve">Says what is here (victim, fire, gas) and can re-check it</t>
  </si>
  <si>
    <t xml:space="preserve">Board</t>
  </si>
  <si>
    <t xml:space="preserve">ESP32-C3 SuperMini, or an nRF52 module</t>
  </si>
  <si>
    <t xml:space="preserve">ESP32 DevKit or ESP32-S3</t>
  </si>
  <si>
    <t xml:space="preserve">Power</t>
  </si>
  <si>
    <t xml:space="preserve">Small LiPo (ESP32-C3 transmit bursts are too heavy for a coin cell; nRF52 can use a coin cell)</t>
  </si>
  <si>
    <t xml:space="preserve">LiPo of 500 mAh or more</t>
  </si>
  <si>
    <t xml:space="preserve">Extras</t>
  </si>
  <si>
    <t xml:space="preserve">None</t>
  </si>
  <si>
    <t xml:space="preserve">Optional gas, thermal or flame sensor, plus an LED or buzzer</t>
  </si>
  <si>
    <t xml:space="preserve">Behaviour</t>
  </si>
  <si>
    <t xml:space="preserve">Fixed message, short advertising bursts, deep sleep in between</t>
  </si>
  <si>
    <t xml:space="preserve">Can update its own message and bump the version byte</t>
  </si>
  <si>
    <t xml:space="preserve">Typical count per mission</t>
  </si>
  <si>
    <t xml:space="preserve">About 27 (27 in the latest simulation run)</t>
  </si>
  <si>
    <t xml:space="preserve">About 4-6 (4 in the latest simulation run)</t>
  </si>
  <si>
    <t xml:space="preserve">Failure impact</t>
  </si>
  <si>
    <t xml:space="preserve">A dead waypoint creates a gap in the chain; Executor falls back to blind wall-following</t>
  </si>
  <si>
    <t xml:space="preserve">A dead event beacon loses the marker; Executor can still find the target with its own sensors</t>
  </si>
  <si>
    <t xml:space="preserve">How each beacon gets its message</t>
  </si>
  <si>
    <t xml:space="preserve">Cheap beacons have no sensors and no clock, so the Writer writes the packet into them before release</t>
  </si>
  <si>
    <t xml:space="preserve">Step</t>
  </si>
  <si>
    <t xml:space="preserve">Cheap waypoint beacon</t>
  </si>
  <si>
    <t xml:space="preserve">Event beacon adds</t>
  </si>
  <si>
    <t xml:space="preserve">1. Message</t>
  </si>
  <si>
    <t xml:space="preserve">Writer writes the 11-byte packet (ID, WHAT, heading, distance, timestamp, version, CRC) into the beacon over a 3-wire serial link from its dispenser</t>
  </si>
  <si>
    <t xml:space="preserve">Same packet, written the same way</t>
  </si>
  <si>
    <t xml:space="preserve">2. Release</t>
  </si>
  <si>
    <t xml:space="preserve">A servo releases the beacon at the drop point</t>
  </si>
  <si>
    <t xml:space="preserve">Same</t>
  </si>
  <si>
    <t xml:space="preserve">3. Timekeeping</t>
  </si>
  <si>
    <t xml:space="preserve">None needed - Executor computes age from the packet timestamp and its own synced clock</t>
  </si>
  <si>
    <t xml:space="preserve">Boot-time counter lets it report its own age even if the Writer's timestamp is off</t>
  </si>
  <si>
    <t xml:space="preserve">4. Self-checking</t>
  </si>
  <si>
    <t xml:space="preserve">Not available</t>
  </si>
  <si>
    <t xml:space="preserve">Broadcasts 'fire out' or 'gas cleared' (version byte bump) when its sensor sees the change, so the Executor does not waste a trip</t>
  </si>
  <si>
    <t xml:space="preserve">5. Findability</t>
  </si>
  <si>
    <t xml:space="preserve">Standard transmit power, short bursts</t>
  </si>
  <si>
    <t xml:space="preserve">Higher transmit power and a bigger battery make the beacons that matter easier to find</t>
  </si>
  <si>
    <t xml:space="preserve">Cost model: why two tiers</t>
  </si>
  <si>
    <t xml:space="preserve">Yellow cells with blue text are inputs - edit them. All prices are rough placeholders in USD, NOT supplier quotes.</t>
  </si>
  <si>
    <t xml:space="preserve">Component</t>
  </si>
  <si>
    <t xml:space="preserve">Waypoint beacon ($)</t>
  </si>
  <si>
    <t xml:space="preserve">Event beacon ($)</t>
  </si>
  <si>
    <t xml:space="preserve">Microcontroller board</t>
  </si>
  <si>
    <t xml:space="preserve">LiPo battery</t>
  </si>
  <si>
    <t xml:space="preserve">Sensor (gas / thermal / flame)</t>
  </si>
  <si>
    <t xml:space="preserve">LED / buzzer</t>
  </si>
  <si>
    <t xml:space="preserve">Housing / shell (3D print)</t>
  </si>
  <si>
    <t xml:space="preserve">Switch, wiring, misc</t>
  </si>
  <si>
    <t xml:space="preserve">Unit cost per beacon</t>
  </si>
  <si>
    <t xml:space="preserve">Mission quantities</t>
  </si>
  <si>
    <t xml:space="preserve">Waypoint beacons</t>
  </si>
  <si>
    <t xml:space="preserve">Event beacons</t>
  </si>
  <si>
    <t xml:space="preserve">Number dropped per mission</t>
  </si>
  <si>
    <t xml:space="preserve">Result</t>
  </si>
  <si>
    <t xml:space="preserve">Value</t>
  </si>
  <si>
    <t xml:space="preserve">Note</t>
  </si>
  <si>
    <t xml:space="preserve">Two-tier mission cost</t>
  </si>
  <si>
    <t xml:space="preserve">Waypoints cheap, events capable</t>
  </si>
  <si>
    <t xml:space="preserve">All event-grade baseline</t>
  </si>
  <si>
    <t xml:space="preserve">Every beacon built like an event beacon</t>
  </si>
  <si>
    <t xml:space="preserve">Savings</t>
  </si>
  <si>
    <t xml:space="preserve">Baseline minus two-tier</t>
  </si>
  <si>
    <t xml:space="preserve">Savings (%)</t>
  </si>
  <si>
    <t xml:space="preserve">Share of the baseline cost avoided</t>
  </si>
  <si>
    <t xml:space="preserve">Average cost per beacon</t>
  </si>
  <si>
    <t xml:space="preserve">Two-tier mission cost / total beacons</t>
  </si>
  <si>
    <t xml:space="preserve">Legend: yellow fill + blue text = input you can change. Black = formula.</t>
  </si>
  <si>
    <t xml:space="preserve">Assumption: unit prices are placeholders (the author does not know local Tunisian supplier prices). Replace with real quotes before using in the report.</t>
  </si>
  <si>
    <t xml:space="preserve">Assumption: quantities come from the latest simulation run (27 waypoint + 4 event beacons).</t>
  </si>
  <si>
    <t xml:space="preserve">Notes and next steps</t>
  </si>
  <si>
    <t xml:space="preserve">Topic</t>
  </si>
  <si>
    <t xml:space="preserve">Detail</t>
  </si>
  <si>
    <t xml:space="preserve">Deadline</t>
  </si>
  <si>
    <t xml:space="preserve">Phase 1 is due 05/10/2026. Freeze the simulation code; the hardware here is Final-phase work (due 01/12/2026) and only needs to appear in the Phase 1 report.</t>
  </si>
  <si>
    <t xml:space="preserve">Report argument</t>
  </si>
  <si>
    <t xml:space="preserve">The chain needs many beacons, so cost goes where the risk is: cheap, disposable waypoints and capable event beacons.</t>
  </si>
  <si>
    <t xml:space="preserve">Optional tweak 1</t>
  </si>
  <si>
    <t xml:space="preserve">Separate supplies in the simulator, for example 30 cheap and 6 event beacons.</t>
  </si>
  <si>
    <t xml:space="preserve">Optional tweak 2</t>
  </si>
  <si>
    <t xml:space="preserve">A small failure rate for cheap beacons, giving another failure case for the report.</t>
  </si>
  <si>
    <t xml:space="preserve">Simulator link</t>
  </si>
  <si>
    <t xml:space="preserve">The log already separates the tiers: kind = "nav" (waypoint) and kind = "event" in writer_log.json.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</si>
</sst>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\$#,##0.00;&quot;($&quot;#,##0.00\);\-"/>
    <numFmt numFmtId="166" formatCode="0.0%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4E79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sz val="10"/>
      <color rgb="FF0000FF"/>
      <name val="Arial"/>
      <family val="0"/>
      <charset val="1"/>
    </font>
    <font>
      <i val="true"/>
      <sz val="9"/>
      <color rgb="FF595959"/>
      <name val="Arial"/>
      <family val="0"/>
      <charset val="1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FFFF00"/>
        <bgColor rgb="FFFFFF00"/>
      </patternFill>
    </fill>
    <fill>
      <patternFill patternType="solid">
        <fgColor rgb="FFDDEBF7"/>
        <bgColor rgb="FFCC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9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7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3" min="2" style="0" width="55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/>
      <c r="B4" s="3" t="s">
        <v>2</v>
      </c>
      <c r="C4" s="3" t="s">
        <v>3</v>
      </c>
    </row>
    <row r="5" customFormat="false" ht="23.85" hidden="false" customHeight="false" outlineLevel="0" collapsed="false">
      <c r="A5" s="4" t="s">
        <v>4</v>
      </c>
      <c r="B5" s="5" t="s">
        <v>5</v>
      </c>
      <c r="C5" s="5" t="s">
        <v>6</v>
      </c>
    </row>
    <row r="6" customFormat="false" ht="15" hidden="false" customHeight="false" outlineLevel="0" collapsed="false">
      <c r="A6" s="4" t="s">
        <v>7</v>
      </c>
      <c r="B6" s="5" t="s">
        <v>8</v>
      </c>
      <c r="C6" s="5" t="s">
        <v>9</v>
      </c>
    </row>
    <row r="7" customFormat="false" ht="23.85" hidden="false" customHeight="false" outlineLevel="0" collapsed="false">
      <c r="A7" s="4" t="s">
        <v>10</v>
      </c>
      <c r="B7" s="5" t="s">
        <v>11</v>
      </c>
      <c r="C7" s="5" t="s">
        <v>12</v>
      </c>
    </row>
    <row r="8" customFormat="false" ht="15" hidden="false" customHeight="false" outlineLevel="0" collapsed="false">
      <c r="A8" s="4" t="s">
        <v>13</v>
      </c>
      <c r="B8" s="5" t="s">
        <v>14</v>
      </c>
      <c r="C8" s="5" t="s">
        <v>15</v>
      </c>
    </row>
    <row r="9" customFormat="false" ht="15" hidden="false" customHeight="false" outlineLevel="0" collapsed="false">
      <c r="A9" s="4" t="s">
        <v>16</v>
      </c>
      <c r="B9" s="5" t="s">
        <v>17</v>
      </c>
      <c r="C9" s="5" t="s">
        <v>18</v>
      </c>
    </row>
    <row r="10" customFormat="false" ht="15" hidden="false" customHeight="false" outlineLevel="0" collapsed="false">
      <c r="A10" s="4" t="s">
        <v>19</v>
      </c>
      <c r="B10" s="5" t="s">
        <v>20</v>
      </c>
      <c r="C10" s="5" t="s">
        <v>21</v>
      </c>
    </row>
    <row r="11" customFormat="false" ht="23.85" hidden="false" customHeight="false" outlineLevel="0" collapsed="false">
      <c r="A11" s="4" t="s">
        <v>22</v>
      </c>
      <c r="B11" s="5" t="s">
        <v>23</v>
      </c>
      <c r="C11" s="5" t="s">
        <v>24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3" min="2" style="0" width="60"/>
  </cols>
  <sheetData>
    <row r="1" customFormat="false" ht="17.35" hidden="false" customHeight="false" outlineLevel="0" collapsed="false">
      <c r="A1" s="1" t="s">
        <v>25</v>
      </c>
    </row>
    <row r="2" customFormat="false" ht="15" hidden="false" customHeight="false" outlineLevel="0" collapsed="false">
      <c r="A2" s="2" t="s">
        <v>26</v>
      </c>
    </row>
    <row r="4" customFormat="false" ht="15" hidden="false" customHeight="false" outlineLevel="0" collapsed="false">
      <c r="A4" s="3" t="s">
        <v>27</v>
      </c>
      <c r="B4" s="3" t="s">
        <v>28</v>
      </c>
      <c r="C4" s="3" t="s">
        <v>29</v>
      </c>
    </row>
    <row r="5" customFormat="false" ht="35.05" hidden="false" customHeight="false" outlineLevel="0" collapsed="false">
      <c r="A5" s="4" t="s">
        <v>30</v>
      </c>
      <c r="B5" s="5" t="s">
        <v>31</v>
      </c>
      <c r="C5" s="5" t="s">
        <v>32</v>
      </c>
    </row>
    <row r="6" customFormat="false" ht="15" hidden="false" customHeight="false" outlineLevel="0" collapsed="false">
      <c r="A6" s="4" t="s">
        <v>33</v>
      </c>
      <c r="B6" s="5" t="s">
        <v>34</v>
      </c>
      <c r="C6" s="5" t="s">
        <v>35</v>
      </c>
    </row>
    <row r="7" customFormat="false" ht="23.85" hidden="false" customHeight="false" outlineLevel="0" collapsed="false">
      <c r="A7" s="4" t="s">
        <v>36</v>
      </c>
      <c r="B7" s="5" t="s">
        <v>37</v>
      </c>
      <c r="C7" s="5" t="s">
        <v>38</v>
      </c>
    </row>
    <row r="8" customFormat="false" ht="23.85" hidden="false" customHeight="false" outlineLevel="0" collapsed="false">
      <c r="A8" s="4" t="s">
        <v>39</v>
      </c>
      <c r="B8" s="5" t="s">
        <v>40</v>
      </c>
      <c r="C8" s="5" t="s">
        <v>41</v>
      </c>
    </row>
    <row r="9" customFormat="false" ht="23.85" hidden="false" customHeight="false" outlineLevel="0" collapsed="false">
      <c r="A9" s="4" t="s">
        <v>42</v>
      </c>
      <c r="B9" s="5" t="s">
        <v>43</v>
      </c>
      <c r="C9" s="5" t="s">
        <v>44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22"/>
    <col collapsed="false" customWidth="true" hidden="false" outlineLevel="0" max="3" min="3" style="0" width="42"/>
  </cols>
  <sheetData>
    <row r="1" customFormat="false" ht="17.35" hidden="false" customHeight="false" outlineLevel="0" collapsed="false">
      <c r="A1" s="1" t="s">
        <v>45</v>
      </c>
    </row>
    <row r="2" customFormat="false" ht="15" hidden="false" customHeight="false" outlineLevel="0" collapsed="false">
      <c r="A2" s="2" t="s">
        <v>46</v>
      </c>
    </row>
    <row r="4" customFormat="false" ht="15" hidden="false" customHeight="false" outlineLevel="0" collapsed="false">
      <c r="A4" s="3" t="s">
        <v>47</v>
      </c>
      <c r="B4" s="3" t="s">
        <v>48</v>
      </c>
      <c r="C4" s="3" t="s">
        <v>49</v>
      </c>
    </row>
    <row r="5" customFormat="false" ht="15" hidden="false" customHeight="false" outlineLevel="0" collapsed="false">
      <c r="A5" s="4" t="s">
        <v>50</v>
      </c>
      <c r="B5" s="6" t="n">
        <v>3</v>
      </c>
      <c r="C5" s="6" t="n">
        <v>6</v>
      </c>
    </row>
    <row r="6" customFormat="false" ht="15" hidden="false" customHeight="false" outlineLevel="0" collapsed="false">
      <c r="A6" s="4" t="s">
        <v>51</v>
      </c>
      <c r="B6" s="6" t="n">
        <v>3</v>
      </c>
      <c r="C6" s="6" t="n">
        <v>4</v>
      </c>
    </row>
    <row r="7" customFormat="false" ht="15" hidden="false" customHeight="false" outlineLevel="0" collapsed="false">
      <c r="A7" s="4" t="s">
        <v>52</v>
      </c>
      <c r="B7" s="6" t="n">
        <v>0</v>
      </c>
      <c r="C7" s="6" t="n">
        <v>4</v>
      </c>
    </row>
    <row r="8" customFormat="false" ht="15" hidden="false" customHeight="false" outlineLevel="0" collapsed="false">
      <c r="A8" s="4" t="s">
        <v>53</v>
      </c>
      <c r="B8" s="6" t="n">
        <v>0</v>
      </c>
      <c r="C8" s="6" t="n">
        <v>1</v>
      </c>
    </row>
    <row r="9" customFormat="false" ht="15" hidden="false" customHeight="false" outlineLevel="0" collapsed="false">
      <c r="A9" s="4" t="s">
        <v>54</v>
      </c>
      <c r="B9" s="6" t="n">
        <v>0.5</v>
      </c>
      <c r="C9" s="6" t="n">
        <v>1</v>
      </c>
    </row>
    <row r="10" customFormat="false" ht="15" hidden="false" customHeight="false" outlineLevel="0" collapsed="false">
      <c r="A10" s="4" t="s">
        <v>55</v>
      </c>
      <c r="B10" s="6" t="n">
        <v>0.5</v>
      </c>
      <c r="C10" s="6" t="n">
        <v>0.5</v>
      </c>
    </row>
    <row r="11" customFormat="false" ht="15" hidden="false" customHeight="false" outlineLevel="0" collapsed="false">
      <c r="A11" s="7" t="s">
        <v>56</v>
      </c>
      <c r="B11" s="8" t="n">
        <f aca="false">SUM(B5:B10)</f>
        <v>7</v>
      </c>
      <c r="C11" s="8" t="n">
        <f aca="false">SUM(C5:C10)</f>
        <v>16.5</v>
      </c>
    </row>
    <row r="13" customFormat="false" ht="15" hidden="false" customHeight="false" outlineLevel="0" collapsed="false">
      <c r="A13" s="3" t="s">
        <v>57</v>
      </c>
      <c r="B13" s="3" t="s">
        <v>58</v>
      </c>
      <c r="C13" s="3" t="s">
        <v>59</v>
      </c>
    </row>
    <row r="14" customFormat="false" ht="15" hidden="false" customHeight="false" outlineLevel="0" collapsed="false">
      <c r="A14" s="4" t="s">
        <v>60</v>
      </c>
      <c r="B14" s="9" t="n">
        <v>27</v>
      </c>
      <c r="C14" s="9" t="n">
        <v>4</v>
      </c>
    </row>
    <row r="16" customFormat="false" ht="15" hidden="false" customHeight="false" outlineLevel="0" collapsed="false">
      <c r="A16" s="3" t="s">
        <v>61</v>
      </c>
      <c r="B16" s="3" t="s">
        <v>62</v>
      </c>
      <c r="C16" s="3" t="s">
        <v>63</v>
      </c>
    </row>
    <row r="17" customFormat="false" ht="15" hidden="false" customHeight="false" outlineLevel="0" collapsed="false">
      <c r="A17" s="4" t="s">
        <v>64</v>
      </c>
      <c r="B17" s="10" t="n">
        <f aca="false">B14*B11+C14*C11</f>
        <v>255</v>
      </c>
      <c r="C17" s="5" t="s">
        <v>65</v>
      </c>
    </row>
    <row r="18" customFormat="false" ht="15" hidden="false" customHeight="false" outlineLevel="0" collapsed="false">
      <c r="A18" s="4" t="s">
        <v>66</v>
      </c>
      <c r="B18" s="10" t="n">
        <f aca="false">(B14+C14)*C11</f>
        <v>511.5</v>
      </c>
      <c r="C18" s="5" t="s">
        <v>67</v>
      </c>
    </row>
    <row r="19" customFormat="false" ht="15" hidden="false" customHeight="false" outlineLevel="0" collapsed="false">
      <c r="A19" s="4" t="s">
        <v>68</v>
      </c>
      <c r="B19" s="10" t="n">
        <f aca="false">B18-B17</f>
        <v>256.5</v>
      </c>
      <c r="C19" s="5" t="s">
        <v>69</v>
      </c>
    </row>
    <row r="20" customFormat="false" ht="15" hidden="false" customHeight="false" outlineLevel="0" collapsed="false">
      <c r="A20" s="4" t="s">
        <v>70</v>
      </c>
      <c r="B20" s="11" t="n">
        <f aca="false">IF(B18=0,0,B19/B18)</f>
        <v>0.501466275659824</v>
      </c>
      <c r="C20" s="5" t="s">
        <v>71</v>
      </c>
    </row>
    <row r="21" customFormat="false" ht="15" hidden="false" customHeight="false" outlineLevel="0" collapsed="false">
      <c r="A21" s="4" t="s">
        <v>72</v>
      </c>
      <c r="B21" s="10" t="n">
        <f aca="false">IF((B14+C14)=0,0,B17/(B14+C14))</f>
        <v>8.2258064516129</v>
      </c>
      <c r="C21" s="5" t="s">
        <v>73</v>
      </c>
    </row>
    <row r="23" customFormat="false" ht="15" hidden="false" customHeight="false" outlineLevel="0" collapsed="false">
      <c r="A23" s="12" t="s">
        <v>74</v>
      </c>
    </row>
    <row r="24" customFormat="false" ht="15" hidden="false" customHeight="false" outlineLevel="0" collapsed="false">
      <c r="A24" s="12" t="s">
        <v>75</v>
      </c>
    </row>
    <row r="25" customFormat="false" ht="15" hidden="false" customHeight="false" outlineLevel="0" collapsed="false">
      <c r="A25" s="12" t="s">
        <v>76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00"/>
  </cols>
  <sheetData>
    <row r="1" customFormat="false" ht="17.35" hidden="false" customHeight="false" outlineLevel="0" collapsed="false">
      <c r="A1" s="1" t="s">
        <v>77</v>
      </c>
    </row>
    <row r="3" customFormat="false" ht="15" hidden="false" customHeight="false" outlineLevel="0" collapsed="false">
      <c r="A3" s="3" t="s">
        <v>78</v>
      </c>
      <c r="B3" s="3" t="s">
        <v>79</v>
      </c>
    </row>
    <row r="4" customFormat="false" ht="23.85" hidden="false" customHeight="false" outlineLevel="0" collapsed="false">
      <c r="A4" s="4" t="s">
        <v>80</v>
      </c>
      <c r="B4" s="5" t="s">
        <v>81</v>
      </c>
    </row>
    <row r="5" customFormat="false" ht="15" hidden="false" customHeight="false" outlineLevel="0" collapsed="false">
      <c r="A5" s="4" t="s">
        <v>82</v>
      </c>
      <c r="B5" s="5" t="s">
        <v>83</v>
      </c>
    </row>
    <row r="6" customFormat="false" ht="15" hidden="false" customHeight="false" outlineLevel="0" collapsed="false">
      <c r="A6" s="4" t="s">
        <v>84</v>
      </c>
      <c r="B6" s="5" t="s">
        <v>85</v>
      </c>
    </row>
    <row r="7" customFormat="false" ht="15" hidden="false" customHeight="false" outlineLevel="0" collapsed="false">
      <c r="A7" s="4" t="s">
        <v>86</v>
      </c>
      <c r="B7" s="5" t="s">
        <v>87</v>
      </c>
    </row>
    <row r="8" customFormat="false" ht="15" hidden="false" customHeight="false" outlineLevel="0" collapsed="false">
      <c r="A8" s="4" t="s">
        <v>88</v>
      </c>
      <c r="B8" s="5" t="s">
        <v>89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2026-10-04T14:49:05Z</dcterms:created>
  <dc:creator>openpyxl</dc:creator>
  <dc:description/>
  <dc:language>en-US</dc:language>
  <cp:lastModifiedBy/>
  <dcterms:modified xsi:type="dcterms:W3CDTF">2026-10-04T14:49:05Z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